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アースワーク_見積書" sheetId="1" state="visible" r:id="rId3"/>
    <sheet name="アースワーク_請求書" sheetId="2" state="visible" r:id="rId4"/>
  </sheets>
  <definedNames>
    <definedName function="false" hidden="false" localSheetId="0" name="_xlnm.Print_Area" vbProcedure="false">アースワーク_見積書!$A$1:$J$48</definedName>
    <definedName function="false" hidden="false" localSheetId="1" name="_xlnm.Print_Area" vbProcedure="false">アースワーク_請求書!$A$1:$J$48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<sst xmlns="http://schemas.openxmlformats.org/spreadsheetml/2006/main" count="76" uniqueCount="39">
  <si>
    <t xml:space="preserve">御見積書</t>
  </si>
  <si>
    <r>
      <rPr>
        <sz val="10"/>
        <rFont val="MS Pゴシック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MS Pゴシック"/>
        <family val="0"/>
        <charset val="1"/>
      </rPr>
      <t xml:space="preserve">03</t>
    </r>
    <r>
      <rPr>
        <sz val="10"/>
        <rFont val="Noto Sans CJK SC"/>
        <family val="2"/>
      </rPr>
      <t xml:space="preserve">月</t>
    </r>
    <r>
      <rPr>
        <sz val="10"/>
        <rFont val="MS Pゴシック"/>
        <family val="0"/>
        <charset val="1"/>
      </rPr>
      <t xml:space="preserve">09</t>
    </r>
    <r>
      <rPr>
        <sz val="10"/>
        <rFont val="Noto Sans CJK SC"/>
        <family val="2"/>
      </rPr>
      <t xml:space="preserve">日</t>
    </r>
  </si>
  <si>
    <t xml:space="preserve">〇〇株式会社</t>
  </si>
  <si>
    <t xml:space="preserve">様</t>
  </si>
  <si>
    <r>
      <rPr>
        <sz val="8"/>
        <rFont val="Noto Sans CJK SC"/>
        <family val="2"/>
      </rPr>
      <t xml:space="preserve">アースワーク株式会社
〒</t>
    </r>
    <r>
      <rPr>
        <sz val="8"/>
        <rFont val="MS Pゴシック"/>
        <family val="0"/>
        <charset val="1"/>
      </rPr>
      <t xml:space="preserve">130-0005</t>
    </r>
    <r>
      <rPr>
        <sz val="8"/>
        <rFont val="Noto Sans CJK SC"/>
        <family val="2"/>
      </rPr>
      <t xml:space="preserve">　東京都墨田区東駒形</t>
    </r>
    <r>
      <rPr>
        <sz val="8"/>
        <rFont val="MS Pゴシック"/>
        <family val="0"/>
        <charset val="1"/>
      </rPr>
      <t xml:space="preserve">2-3-8
Tel.03-5819-4550</t>
    </r>
    <r>
      <rPr>
        <sz val="8"/>
        <rFont val="Noto Sans CJK SC"/>
        <family val="2"/>
      </rPr>
      <t xml:space="preserve">　</t>
    </r>
    <r>
      <rPr>
        <sz val="8"/>
        <rFont val="MS Pゴシック"/>
        <family val="0"/>
        <charset val="1"/>
      </rPr>
      <t xml:space="preserve">Fax.03-5819-4504
</t>
    </r>
    <r>
      <rPr>
        <sz val="8"/>
        <rFont val="Noto Sans CJK SC"/>
        <family val="2"/>
      </rPr>
      <t xml:space="preserve">登録番号：</t>
    </r>
    <r>
      <rPr>
        <sz val="8"/>
        <rFont val="MS Pゴシック"/>
        <family val="0"/>
        <charset val="1"/>
      </rPr>
      <t xml:space="preserve">T6010601067902</t>
    </r>
  </si>
  <si>
    <t xml:space="preserve">下記の通りご請求申し上げます。</t>
  </si>
  <si>
    <t xml:space="preserve">件名：</t>
  </si>
  <si>
    <t xml:space="preserve">芝浦ポスター撤去及び看板設置工事一式</t>
  </si>
  <si>
    <t xml:space="preserve">受渡期日：</t>
  </si>
  <si>
    <r>
      <rPr>
        <sz val="10"/>
        <rFont val="MS Pゴシック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MS Pゴシック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  <r>
      <rPr>
        <sz val="10"/>
        <rFont val="MS Pゴシック"/>
        <family val="0"/>
        <charset val="1"/>
      </rPr>
      <t xml:space="preserve">31</t>
    </r>
    <r>
      <rPr>
        <sz val="10"/>
        <rFont val="Noto Sans CJK SC"/>
        <family val="2"/>
      </rPr>
      <t xml:space="preserve">日</t>
    </r>
  </si>
  <si>
    <t xml:space="preserve">受渡場所：</t>
  </si>
  <si>
    <t xml:space="preserve">東京都港区芝浦</t>
  </si>
  <si>
    <t xml:space="preserve">取引方法：</t>
  </si>
  <si>
    <t xml:space="preserve">従来通り</t>
  </si>
  <si>
    <t xml:space="preserve">担当：</t>
  </si>
  <si>
    <t xml:space="preserve">木戸　志朗</t>
  </si>
  <si>
    <t xml:space="preserve">御見積合計金額</t>
  </si>
  <si>
    <t xml:space="preserve">税抜金額</t>
  </si>
  <si>
    <t xml:space="preserve">品名・項目</t>
  </si>
  <si>
    <t xml:space="preserve">数量</t>
  </si>
  <si>
    <t xml:space="preserve">単位</t>
  </si>
  <si>
    <t xml:space="preserve">単価</t>
  </si>
  <si>
    <t xml:space="preserve">金額</t>
  </si>
  <si>
    <t xml:space="preserve">備考</t>
  </si>
  <si>
    <t xml:space="preserve">①芝浦ポスター撤去</t>
  </si>
  <si>
    <t xml:space="preserve">式</t>
  </si>
  <si>
    <t xml:space="preserve">250171</t>
  </si>
  <si>
    <t xml:space="preserve">②看板設置工事</t>
  </si>
  <si>
    <t xml:space="preserve">③デザイン・制作費</t>
  </si>
  <si>
    <t xml:space="preserve">④施工管理費</t>
  </si>
  <si>
    <t xml:space="preserve">特記事項</t>
  </si>
  <si>
    <t xml:space="preserve">消費税</t>
  </si>
  <si>
    <t xml:space="preserve">総額</t>
  </si>
  <si>
    <t xml:space="preserve">請求書</t>
  </si>
  <si>
    <t xml:space="preserve">ー</t>
  </si>
  <si>
    <t xml:space="preserve">御請求合計金額</t>
  </si>
  <si>
    <t xml:space="preserve">値引後</t>
  </si>
  <si>
    <t xml:space="preserve">振込先</t>
  </si>
  <si>
    <r>
      <rPr>
        <sz val="9"/>
        <rFont val="Noto Sans CJK SC"/>
        <family val="2"/>
      </rPr>
      <t xml:space="preserve">三井住友銀行　トランク</t>
    </r>
    <r>
      <rPr>
        <sz val="9"/>
        <rFont val="MS Pゴシック"/>
        <family val="0"/>
        <charset val="1"/>
      </rPr>
      <t xml:space="preserve">NORTH</t>
    </r>
    <r>
      <rPr>
        <sz val="9"/>
        <rFont val="Noto Sans CJK SC"/>
        <family val="2"/>
      </rPr>
      <t xml:space="preserve">支店（店番：</t>
    </r>
    <r>
      <rPr>
        <sz val="9"/>
        <rFont val="MS Pゴシック"/>
        <family val="0"/>
        <charset val="1"/>
      </rPr>
      <t xml:space="preserve">403</t>
    </r>
    <r>
      <rPr>
        <sz val="9"/>
        <rFont val="Noto Sans CJK SC"/>
        <family val="2"/>
      </rPr>
      <t xml:space="preserve">）
普通預金　</t>
    </r>
    <r>
      <rPr>
        <sz val="9"/>
        <rFont val="MS Pゴシック"/>
        <family val="0"/>
        <charset val="1"/>
      </rPr>
      <t xml:space="preserve">0260571
</t>
    </r>
    <r>
      <rPr>
        <sz val="9"/>
        <rFont val="Noto Sans CJK SC"/>
        <family val="2"/>
      </rPr>
      <t xml:space="preserve">アースワーク（カ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</si>
</sst>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##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Noto Sans CJK SC"/>
      <family val="2"/>
    </font>
    <font>
      <sz val="10"/>
      <name val="MS Pゴシック"/>
      <family val="0"/>
      <charset val="1"/>
    </font>
    <font>
      <sz val="10"/>
      <name val="Noto Sans CJK SC"/>
      <family val="2"/>
    </font>
    <font>
      <sz val="12"/>
      <name val="Noto Sans CJK SC"/>
      <family val="2"/>
    </font>
    <font>
      <sz val="8"/>
      <name val="Noto Sans CJK SC"/>
      <family val="2"/>
    </font>
    <font>
      <sz val="8"/>
      <name val="MS Pゴシック"/>
      <family val="0"/>
      <charset val="1"/>
    </font>
    <font>
      <sz val="16"/>
      <name val="MS Pゴシック"/>
      <family val="0"/>
      <charset val="1"/>
    </font>
    <font>
      <sz val="12"/>
      <name val="MS Pゴシック"/>
      <family val="0"/>
      <charset val="1"/>
    </font>
    <font>
      <sz val="11"/>
      <name val="Noto Sans CJK SC"/>
      <family val="2"/>
    </font>
    <font>
      <sz val="11"/>
      <name val="MS Pゴシック"/>
      <family val="0"/>
      <charset val="1"/>
    </font>
    <font>
      <sz val="9"/>
      <name val="Noto Sans CJK SC"/>
      <family val="2"/>
    </font>
    <font>
      <sz val="9"/>
      <name val="MS Pゴシック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9.63"/>
    <col collapsed="false" customWidth="true" hidden="false" outlineLevel="0" max="5" min="3" style="0" width="8"/>
    <col collapsed="false" customWidth="true" hidden="false" outlineLevel="0" max="6" min="6" style="0" width="5.88"/>
    <col collapsed="false" customWidth="true" hidden="false" outlineLevel="0" max="7" min="7" style="0" width="5"/>
    <col collapsed="false" customWidth="true" hidden="false" outlineLevel="0" max="8" min="8" style="0" width="11.75"/>
    <col collapsed="false" customWidth="true" hidden="false" outlineLevel="0" max="9" min="9" style="0" width="11"/>
    <col collapsed="false" customWidth="true" hidden="false" outlineLevel="0" max="10" min="10" style="0" width="12.38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7" hidden="false" customHeight="tru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J4" s="3" t="s">
        <v>1</v>
      </c>
    </row>
    <row r="5" customFormat="false" ht="10.5" hidden="false" customHeight="true" outlineLevel="0" collapsed="false"/>
    <row r="6" customFormat="false" ht="24" hidden="false" customHeight="true" outlineLevel="0" collapsed="false">
      <c r="A6" s="4" t="s">
        <v>2</v>
      </c>
      <c r="B6" s="4"/>
      <c r="C6" s="4"/>
      <c r="D6" s="4"/>
      <c r="E6" s="4"/>
      <c r="F6" s="4" t="s">
        <v>3</v>
      </c>
      <c r="G6" s="1"/>
      <c r="H6" s="5" t="s">
        <v>4</v>
      </c>
      <c r="I6" s="5"/>
      <c r="J6" s="5"/>
    </row>
    <row r="7" customFormat="false" ht="13.5" hidden="false" customHeight="true" outlineLevel="0" collapsed="false">
      <c r="G7" s="1"/>
      <c r="H7" s="1"/>
      <c r="I7" s="5"/>
      <c r="J7" s="5"/>
    </row>
    <row r="8" customFormat="false" ht="22.5" hidden="false" customHeight="true" outlineLevel="0" collapsed="false">
      <c r="A8" s="6" t="s">
        <v>5</v>
      </c>
      <c r="B8" s="6"/>
      <c r="C8" s="6"/>
      <c r="D8" s="6"/>
      <c r="E8" s="6"/>
      <c r="F8" s="6"/>
      <c r="G8" s="1"/>
      <c r="H8" s="1"/>
      <c r="I8" s="5"/>
      <c r="J8" s="5"/>
    </row>
    <row r="9" customFormat="false" ht="22.5" hidden="false" customHeight="true" outlineLevel="0" collapsed="false">
      <c r="A9" s="7" t="s">
        <v>6</v>
      </c>
      <c r="B9" s="8"/>
      <c r="C9" s="9" t="s">
        <v>7</v>
      </c>
      <c r="D9" s="8"/>
      <c r="E9" s="8"/>
      <c r="F9" s="8"/>
      <c r="G9" s="1"/>
    </row>
    <row r="10" customFormat="false" ht="22.5" hidden="false" customHeight="true" outlineLevel="0" collapsed="false">
      <c r="A10" s="10" t="s">
        <v>8</v>
      </c>
      <c r="B10" s="11"/>
      <c r="C10" s="12" t="s">
        <v>9</v>
      </c>
      <c r="D10" s="11"/>
      <c r="E10" s="11"/>
      <c r="F10" s="11"/>
      <c r="G10" s="1"/>
      <c r="H10" s="1"/>
      <c r="I10" s="1"/>
      <c r="J10" s="1"/>
    </row>
    <row r="11" customFormat="false" ht="21.75" hidden="false" customHeight="true" outlineLevel="0" collapsed="false">
      <c r="A11" s="10" t="s">
        <v>10</v>
      </c>
      <c r="B11" s="10"/>
      <c r="C11" s="10" t="s">
        <v>11</v>
      </c>
      <c r="D11" s="11"/>
      <c r="E11" s="11"/>
      <c r="F11" s="11"/>
      <c r="G11" s="1"/>
      <c r="H11" s="1"/>
      <c r="I11" s="1"/>
      <c r="J11" s="1"/>
    </row>
    <row r="12" customFormat="false" ht="22.5" hidden="false" customHeight="true" outlineLevel="0" collapsed="false">
      <c r="A12" s="10" t="s">
        <v>12</v>
      </c>
      <c r="B12" s="11"/>
      <c r="C12" s="10" t="s">
        <v>13</v>
      </c>
      <c r="D12" s="11"/>
      <c r="E12" s="11"/>
      <c r="F12" s="11"/>
      <c r="G12" s="1"/>
      <c r="H12" s="7" t="s">
        <v>14</v>
      </c>
      <c r="I12" s="7" t="s">
        <v>15</v>
      </c>
      <c r="J12" s="8"/>
    </row>
    <row r="13" customFormat="false" ht="11.2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9.5" hidden="false" customHeight="true" outlineLevel="0" collapsed="false">
      <c r="A14" s="14" t="s">
        <v>16</v>
      </c>
      <c r="B14" s="14"/>
      <c r="C14" s="15" t="n">
        <f aca="false">H46</f>
        <v>171160</v>
      </c>
      <c r="D14" s="16"/>
      <c r="E14" s="16"/>
      <c r="F14" s="16"/>
      <c r="G14" s="17"/>
      <c r="H14" s="18" t="s">
        <v>17</v>
      </c>
      <c r="I14" s="19" t="n">
        <f aca="false">H44</f>
        <v>155600</v>
      </c>
      <c r="J14" s="19"/>
    </row>
    <row r="15" customFormat="false" ht="14.25" hidden="false" customHeight="true" outlineLevel="0" collapsed="false">
      <c r="A15" s="14"/>
      <c r="B15" s="14"/>
      <c r="C15" s="15"/>
      <c r="D15" s="13"/>
      <c r="E15" s="13"/>
      <c r="F15" s="13"/>
      <c r="G15" s="20"/>
      <c r="H15" s="21"/>
      <c r="I15" s="21"/>
      <c r="J15" s="21"/>
    </row>
    <row r="16" customFormat="false" ht="14.25" hidden="false" customHeight="true" outlineLevel="0" collapsed="false"/>
    <row r="17" customFormat="false" ht="21" hidden="false" customHeight="true" outlineLevel="0" collapsed="false">
      <c r="A17" s="22" t="s">
        <v>18</v>
      </c>
      <c r="B17" s="22"/>
      <c r="C17" s="22"/>
      <c r="D17" s="22"/>
      <c r="E17" s="22"/>
      <c r="F17" s="23" t="s">
        <v>19</v>
      </c>
      <c r="G17" s="23" t="s">
        <v>20</v>
      </c>
      <c r="H17" s="23" t="s">
        <v>21</v>
      </c>
      <c r="I17" s="23" t="s">
        <v>22</v>
      </c>
      <c r="J17" s="23" t="s">
        <v>23</v>
      </c>
    </row>
    <row r="18" customFormat="false" ht="18" hidden="false" customHeight="true" outlineLevel="0" collapsed="false">
      <c r="A18" s="24" t="s">
        <v>24</v>
      </c>
      <c r="B18" s="24"/>
      <c r="C18" s="24"/>
      <c r="D18" s="24"/>
      <c r="E18" s="24"/>
      <c r="F18" s="25" t="n">
        <v>1</v>
      </c>
      <c r="G18" s="26" t="s">
        <v>25</v>
      </c>
      <c r="H18" s="27" t="n">
        <v>30600</v>
      </c>
      <c r="I18" s="27" t="n">
        <f aca="false">IF(ISBLANK(H18),"",F18*H18)</f>
        <v>30600</v>
      </c>
      <c r="J18" s="28" t="s">
        <v>26</v>
      </c>
    </row>
    <row r="19" customFormat="false" ht="18" hidden="false" customHeight="true" outlineLevel="0" collapsed="false">
      <c r="A19" s="29" t="s">
        <v>27</v>
      </c>
      <c r="B19" s="29"/>
      <c r="C19" s="29"/>
      <c r="D19" s="29"/>
      <c r="E19" s="29"/>
      <c r="F19" s="30" t="n">
        <v>1</v>
      </c>
      <c r="G19" s="31" t="s">
        <v>25</v>
      </c>
      <c r="H19" s="32" t="n">
        <v>45000</v>
      </c>
      <c r="I19" s="32" t="n">
        <f aca="false">IF(ISBLANK(H19),"",F19*H19)</f>
        <v>45000</v>
      </c>
      <c r="J19" s="33"/>
    </row>
    <row r="20" customFormat="false" ht="18" hidden="false" customHeight="true" outlineLevel="0" collapsed="false">
      <c r="A20" s="24" t="s">
        <v>28</v>
      </c>
      <c r="B20" s="24"/>
      <c r="C20" s="24"/>
      <c r="D20" s="24"/>
      <c r="E20" s="24"/>
      <c r="F20" s="25" t="n">
        <v>1</v>
      </c>
      <c r="G20" s="26" t="s">
        <v>25</v>
      </c>
      <c r="H20" s="27" t="n">
        <v>68000</v>
      </c>
      <c r="I20" s="27" t="n">
        <f aca="false">IF(ISBLANK(H20),"",F20*H20)</f>
        <v>68000</v>
      </c>
      <c r="J20" s="28"/>
    </row>
    <row r="21" customFormat="false" ht="18" hidden="false" customHeight="true" outlineLevel="0" collapsed="false">
      <c r="A21" s="29" t="s">
        <v>29</v>
      </c>
      <c r="B21" s="29"/>
      <c r="C21" s="29"/>
      <c r="D21" s="29"/>
      <c r="E21" s="29"/>
      <c r="F21" s="30" t="n">
        <v>1</v>
      </c>
      <c r="G21" s="31" t="s">
        <v>25</v>
      </c>
      <c r="H21" s="32" t="n">
        <v>12000</v>
      </c>
      <c r="I21" s="32" t="n">
        <f aca="false">IF(ISBLANK(H21),"",F21*H21)</f>
        <v>12000</v>
      </c>
      <c r="J21" s="33"/>
    </row>
    <row r="22" customFormat="false" ht="18" hidden="false" customHeight="true" outlineLevel="0" collapsed="false">
      <c r="A22" s="24"/>
      <c r="B22" s="24"/>
      <c r="C22" s="24"/>
      <c r="D22" s="24"/>
      <c r="E22" s="24"/>
      <c r="F22" s="25"/>
      <c r="G22" s="26"/>
      <c r="H22" s="27"/>
      <c r="I22" s="27" t="str">
        <f aca="false">IF(ISBLANK(H22),"",F22*H22)</f>
        <v/>
      </c>
      <c r="J22" s="28"/>
    </row>
    <row r="23" customFormat="false" ht="18" hidden="false" customHeight="true" outlineLevel="0" collapsed="false">
      <c r="A23" s="29"/>
      <c r="B23" s="29"/>
      <c r="C23" s="29"/>
      <c r="D23" s="29"/>
      <c r="E23" s="29"/>
      <c r="F23" s="30"/>
      <c r="G23" s="31"/>
      <c r="H23" s="32"/>
      <c r="I23" s="32" t="str">
        <f aca="false">IF(ISBLANK(H23),"",F23*H23)</f>
        <v/>
      </c>
      <c r="J23" s="33"/>
    </row>
    <row r="24" customFormat="false" ht="18" hidden="false" customHeight="true" outlineLevel="0" collapsed="false">
      <c r="A24" s="24"/>
      <c r="B24" s="24"/>
      <c r="C24" s="24"/>
      <c r="D24" s="24"/>
      <c r="E24" s="24"/>
      <c r="F24" s="25"/>
      <c r="G24" s="26"/>
      <c r="H24" s="27"/>
      <c r="I24" s="27" t="str">
        <f aca="false">IF(ISBLANK(H24),"",F24*H24)</f>
        <v/>
      </c>
      <c r="J24" s="28"/>
    </row>
    <row r="25" customFormat="false" ht="18" hidden="false" customHeight="true" outlineLevel="0" collapsed="false">
      <c r="A25" s="29"/>
      <c r="B25" s="29"/>
      <c r="C25" s="29"/>
      <c r="D25" s="29"/>
      <c r="E25" s="29"/>
      <c r="F25" s="30"/>
      <c r="G25" s="31"/>
      <c r="H25" s="32"/>
      <c r="I25" s="32" t="str">
        <f aca="false">IF(ISBLANK(H25),"",F25*H25)</f>
        <v/>
      </c>
      <c r="J25" s="33"/>
    </row>
    <row r="26" customFormat="false" ht="18" hidden="false" customHeight="true" outlineLevel="0" collapsed="false">
      <c r="A26" s="24"/>
      <c r="B26" s="24"/>
      <c r="C26" s="24"/>
      <c r="D26" s="24"/>
      <c r="E26" s="24"/>
      <c r="F26" s="25"/>
      <c r="G26" s="26"/>
      <c r="H26" s="27"/>
      <c r="I26" s="27" t="str">
        <f aca="false">IF(ISBLANK(H26),"",F26*H26)</f>
        <v/>
      </c>
      <c r="J26" s="28"/>
    </row>
    <row r="27" customFormat="false" ht="18" hidden="false" customHeight="true" outlineLevel="0" collapsed="false">
      <c r="A27" s="29"/>
      <c r="B27" s="29"/>
      <c r="C27" s="29"/>
      <c r="D27" s="29"/>
      <c r="E27" s="29"/>
      <c r="F27" s="30"/>
      <c r="G27" s="31"/>
      <c r="H27" s="32"/>
      <c r="I27" s="32" t="str">
        <f aca="false">IF(ISBLANK(H27),"",F27*H27)</f>
        <v/>
      </c>
      <c r="J27" s="33"/>
    </row>
    <row r="28" customFormat="false" ht="18" hidden="false" customHeight="true" outlineLevel="0" collapsed="false">
      <c r="A28" s="24"/>
      <c r="B28" s="24"/>
      <c r="C28" s="24"/>
      <c r="D28" s="24"/>
      <c r="E28" s="24"/>
      <c r="F28" s="25"/>
      <c r="G28" s="26"/>
      <c r="H28" s="27"/>
      <c r="I28" s="27" t="str">
        <f aca="false">IF(ISBLANK(H28),"",F28*H28)</f>
        <v/>
      </c>
      <c r="J28" s="28"/>
    </row>
    <row r="29" customFormat="false" ht="18" hidden="false" customHeight="true" outlineLevel="0" collapsed="false">
      <c r="A29" s="29"/>
      <c r="B29" s="29"/>
      <c r="C29" s="29"/>
      <c r="D29" s="29"/>
      <c r="E29" s="29"/>
      <c r="F29" s="30"/>
      <c r="G29" s="31"/>
      <c r="H29" s="32"/>
      <c r="I29" s="32" t="str">
        <f aca="false">IF(ISBLANK(H29),"",F29*H29)</f>
        <v/>
      </c>
      <c r="J29" s="33"/>
    </row>
    <row r="30" customFormat="false" ht="18" hidden="false" customHeight="true" outlineLevel="0" collapsed="false">
      <c r="A30" s="24"/>
      <c r="B30" s="24"/>
      <c r="C30" s="24"/>
      <c r="D30" s="24"/>
      <c r="E30" s="24"/>
      <c r="F30" s="25"/>
      <c r="G30" s="26"/>
      <c r="H30" s="27"/>
      <c r="I30" s="27" t="str">
        <f aca="false">IF(ISBLANK(H30),"",F30*H30)</f>
        <v/>
      </c>
      <c r="J30" s="28"/>
    </row>
    <row r="31" customFormat="false" ht="18" hidden="false" customHeight="true" outlineLevel="0" collapsed="false">
      <c r="A31" s="29"/>
      <c r="B31" s="29"/>
      <c r="C31" s="29"/>
      <c r="D31" s="29"/>
      <c r="E31" s="29"/>
      <c r="F31" s="30"/>
      <c r="G31" s="31"/>
      <c r="H31" s="32"/>
      <c r="I31" s="32" t="str">
        <f aca="false">IF(ISBLANK(H31),"",F31*H31)</f>
        <v/>
      </c>
      <c r="J31" s="33"/>
    </row>
    <row r="32" customFormat="false" ht="18" hidden="false" customHeight="true" outlineLevel="0" collapsed="false">
      <c r="A32" s="24"/>
      <c r="B32" s="24"/>
      <c r="C32" s="24"/>
      <c r="D32" s="24"/>
      <c r="E32" s="24"/>
      <c r="F32" s="25"/>
      <c r="G32" s="26"/>
      <c r="H32" s="27"/>
      <c r="I32" s="27" t="str">
        <f aca="false">IF(ISBLANK(H32),"",F32*H32)</f>
        <v/>
      </c>
      <c r="J32" s="28"/>
    </row>
    <row r="33" customFormat="false" ht="18" hidden="false" customHeight="true" outlineLevel="0" collapsed="false">
      <c r="A33" s="29"/>
      <c r="B33" s="29"/>
      <c r="C33" s="29"/>
      <c r="D33" s="29"/>
      <c r="E33" s="29"/>
      <c r="F33" s="30"/>
      <c r="G33" s="31"/>
      <c r="H33" s="32"/>
      <c r="I33" s="32" t="str">
        <f aca="false">IF(ISBLANK(H33),"",F33*H33)</f>
        <v/>
      </c>
      <c r="J33" s="33"/>
    </row>
    <row r="34" customFormat="false" ht="18" hidden="false" customHeight="true" outlineLevel="0" collapsed="false">
      <c r="A34" s="24"/>
      <c r="B34" s="24"/>
      <c r="C34" s="24"/>
      <c r="D34" s="24"/>
      <c r="E34" s="24"/>
      <c r="F34" s="25"/>
      <c r="G34" s="26"/>
      <c r="H34" s="27"/>
      <c r="I34" s="27" t="str">
        <f aca="false">IF(ISBLANK(H34),"",F34*H34)</f>
        <v/>
      </c>
      <c r="J34" s="28"/>
    </row>
    <row r="35" customFormat="false" ht="18" hidden="false" customHeight="true" outlineLevel="0" collapsed="false">
      <c r="A35" s="29"/>
      <c r="B35" s="29"/>
      <c r="C35" s="29"/>
      <c r="D35" s="29"/>
      <c r="E35" s="29"/>
      <c r="F35" s="30"/>
      <c r="G35" s="31"/>
      <c r="H35" s="32"/>
      <c r="I35" s="32" t="str">
        <f aca="false">IF(ISBLANK(H35),"",F35*H35)</f>
        <v/>
      </c>
      <c r="J35" s="33"/>
    </row>
    <row r="36" customFormat="false" ht="18" hidden="false" customHeight="true" outlineLevel="0" collapsed="false">
      <c r="A36" s="24"/>
      <c r="B36" s="24"/>
      <c r="C36" s="24"/>
      <c r="D36" s="24"/>
      <c r="E36" s="24"/>
      <c r="F36" s="25"/>
      <c r="G36" s="26"/>
      <c r="H36" s="27"/>
      <c r="I36" s="27" t="str">
        <f aca="false">IF(ISBLANK(H36),"",F36*H36)</f>
        <v/>
      </c>
      <c r="J36" s="28"/>
    </row>
    <row r="37" customFormat="false" ht="18" hidden="false" customHeight="true" outlineLevel="0" collapsed="false">
      <c r="A37" s="29"/>
      <c r="B37" s="29"/>
      <c r="C37" s="29"/>
      <c r="D37" s="29"/>
      <c r="E37" s="29"/>
      <c r="F37" s="30"/>
      <c r="G37" s="31"/>
      <c r="H37" s="32"/>
      <c r="I37" s="32" t="str">
        <f aca="false">IF(ISBLANK(H37),"",F37*H37)</f>
        <v/>
      </c>
      <c r="J37" s="33"/>
    </row>
    <row r="38" customFormat="false" ht="18" hidden="false" customHeight="true" outlineLevel="0" collapsed="false">
      <c r="A38" s="24"/>
      <c r="B38" s="24"/>
      <c r="C38" s="24"/>
      <c r="D38" s="24"/>
      <c r="E38" s="24"/>
      <c r="F38" s="25"/>
      <c r="G38" s="26"/>
      <c r="H38" s="27"/>
      <c r="I38" s="27" t="str">
        <f aca="false">IF(ISBLANK(H38),"",F38*H38)</f>
        <v/>
      </c>
      <c r="J38" s="28"/>
    </row>
    <row r="39" customFormat="false" ht="18" hidden="false" customHeight="true" outlineLevel="0" collapsed="false">
      <c r="A39" s="29"/>
      <c r="B39" s="29"/>
      <c r="C39" s="29"/>
      <c r="D39" s="29"/>
      <c r="E39" s="29"/>
      <c r="F39" s="30"/>
      <c r="G39" s="31"/>
      <c r="H39" s="32"/>
      <c r="I39" s="32" t="str">
        <f aca="false">IF(ISBLANK(H39),"",F39*H39)</f>
        <v/>
      </c>
      <c r="J39" s="33"/>
    </row>
    <row r="40" customFormat="false" ht="18" hidden="false" customHeight="true" outlineLevel="0" collapsed="false">
      <c r="A40" s="24"/>
      <c r="B40" s="24"/>
      <c r="C40" s="24"/>
      <c r="D40" s="24"/>
      <c r="E40" s="24"/>
      <c r="F40" s="25"/>
      <c r="G40" s="26"/>
      <c r="H40" s="27"/>
      <c r="I40" s="27" t="str">
        <f aca="false">IF(ISBLANK(H40),"",F40*H40)</f>
        <v/>
      </c>
      <c r="J40" s="28"/>
    </row>
    <row r="41" customFormat="false" ht="18" hidden="false" customHeight="true" outlineLevel="0" collapsed="false">
      <c r="A41" s="29"/>
      <c r="B41" s="29"/>
      <c r="C41" s="29"/>
      <c r="D41" s="29"/>
      <c r="E41" s="29"/>
      <c r="F41" s="30"/>
      <c r="G41" s="31"/>
      <c r="H41" s="32"/>
      <c r="I41" s="32" t="str">
        <f aca="false">IF(ISBLANK(H41),"",F41*H41)</f>
        <v/>
      </c>
      <c r="J41" s="33"/>
    </row>
    <row r="42" customFormat="false" ht="18" hidden="false" customHeight="true" outlineLevel="0" collapsed="false">
      <c r="A42" s="24"/>
      <c r="B42" s="24"/>
      <c r="C42" s="24"/>
      <c r="D42" s="24"/>
      <c r="E42" s="24"/>
      <c r="F42" s="25"/>
      <c r="G42" s="26"/>
      <c r="H42" s="27"/>
      <c r="I42" s="27" t="str">
        <f aca="false">IF(ISBLANK(H42),"",F42*H42)</f>
        <v/>
      </c>
      <c r="J42" s="28"/>
    </row>
    <row r="43" customFormat="false" ht="18" hidden="false" customHeight="true" outlineLevel="0" collapsed="false">
      <c r="A43" s="29"/>
      <c r="B43" s="29"/>
      <c r="C43" s="29"/>
      <c r="D43" s="29"/>
      <c r="E43" s="29"/>
      <c r="F43" s="30"/>
      <c r="G43" s="31"/>
      <c r="H43" s="32"/>
      <c r="I43" s="32" t="str">
        <f aca="false">IF(ISBLANK(H43),"",F43*H43)</f>
        <v/>
      </c>
      <c r="J43" s="33"/>
    </row>
    <row r="44" customFormat="false" ht="18" hidden="false" customHeight="true" outlineLevel="0" collapsed="false">
      <c r="A44" s="34" t="s">
        <v>30</v>
      </c>
      <c r="F44" s="35" t="s">
        <v>17</v>
      </c>
      <c r="H44" s="36" t="n">
        <f aca="false">SUM(I18:I43)</f>
        <v>155600</v>
      </c>
      <c r="I44" s="36"/>
      <c r="J44" s="36"/>
    </row>
    <row r="45" customFormat="false" ht="18" hidden="false" customHeight="true" outlineLevel="0" collapsed="false">
      <c r="F45" s="37" t="s">
        <v>31</v>
      </c>
      <c r="H45" s="36" t="n">
        <f aca="false">H44*0.1</f>
        <v>15560</v>
      </c>
      <c r="I45" s="36"/>
      <c r="J45" s="36"/>
    </row>
    <row r="46" customFormat="false" ht="18" hidden="false" customHeight="true" outlineLevel="0" collapsed="false">
      <c r="F46" s="37" t="s">
        <v>32</v>
      </c>
      <c r="H46" s="36" t="n">
        <f aca="false">H44+H45</f>
        <v>171160</v>
      </c>
      <c r="I46" s="36"/>
      <c r="J46" s="36"/>
    </row>
    <row r="47" customFormat="false" ht="18" hidden="false" customHeight="true" outlineLevel="0" collapsed="false"/>
  </sheetData>
  <mergeCells count="43">
    <mergeCell ref="A1:J2"/>
    <mergeCell ref="A3:J3"/>
    <mergeCell ref="A6:E6"/>
    <mergeCell ref="G6:G12"/>
    <mergeCell ref="H6:J8"/>
    <mergeCell ref="A8:F8"/>
    <mergeCell ref="H10:J11"/>
    <mergeCell ref="A11:B11"/>
    <mergeCell ref="A13:J13"/>
    <mergeCell ref="A14:B15"/>
    <mergeCell ref="C14:C15"/>
    <mergeCell ref="I14:J14"/>
    <mergeCell ref="I15:J15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H44:J44"/>
    <mergeCell ref="H45:J45"/>
    <mergeCell ref="H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9.63"/>
    <col collapsed="false" customWidth="true" hidden="false" outlineLevel="0" max="5" min="3" style="0" width="8"/>
    <col collapsed="false" customWidth="true" hidden="false" outlineLevel="0" max="6" min="6" style="0" width="5.88"/>
    <col collapsed="false" customWidth="true" hidden="false" outlineLevel="0" max="7" min="7" style="0" width="5"/>
    <col collapsed="false" customWidth="true" hidden="false" outlineLevel="0" max="8" min="8" style="0" width="11.75"/>
    <col collapsed="false" customWidth="true" hidden="false" outlineLevel="0" max="9" min="9" style="0" width="11"/>
    <col collapsed="false" customWidth="true" hidden="false" outlineLevel="0" max="10" min="10" style="0" width="12.38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7" hidden="false" customHeight="true" outlineLevel="0" collapsed="false">
      <c r="A3" s="2" t="s">
        <v>33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J4" s="3" t="s">
        <v>1</v>
      </c>
    </row>
    <row r="5" customFormat="false" ht="10.5" hidden="false" customHeight="true" outlineLevel="0" collapsed="false"/>
    <row r="6" customFormat="false" ht="24" hidden="false" customHeight="true" outlineLevel="0" collapsed="false">
      <c r="A6" s="4" t="s">
        <v>2</v>
      </c>
      <c r="B6" s="4"/>
      <c r="C6" s="4"/>
      <c r="D6" s="4"/>
      <c r="E6" s="4"/>
      <c r="F6" s="4" t="s">
        <v>3</v>
      </c>
      <c r="G6" s="1"/>
      <c r="H6" s="5" t="s">
        <v>4</v>
      </c>
      <c r="I6" s="5"/>
      <c r="J6" s="5"/>
    </row>
    <row r="7" customFormat="false" ht="13.5" hidden="false" customHeight="true" outlineLevel="0" collapsed="false">
      <c r="G7" s="1"/>
      <c r="H7" s="1"/>
      <c r="I7" s="5"/>
      <c r="J7" s="5"/>
    </row>
    <row r="8" customFormat="false" ht="22.5" hidden="false" customHeight="true" outlineLevel="0" collapsed="false">
      <c r="A8" s="6" t="s">
        <v>5</v>
      </c>
      <c r="B8" s="6"/>
      <c r="C8" s="6"/>
      <c r="D8" s="6"/>
      <c r="E8" s="6"/>
      <c r="F8" s="6"/>
      <c r="G8" s="1"/>
      <c r="H8" s="1"/>
      <c r="I8" s="5"/>
      <c r="J8" s="5"/>
    </row>
    <row r="9" customFormat="false" ht="22.5" hidden="false" customHeight="true" outlineLevel="0" collapsed="false">
      <c r="A9" s="7" t="s">
        <v>6</v>
      </c>
      <c r="B9" s="8"/>
      <c r="C9" s="9" t="s">
        <v>7</v>
      </c>
      <c r="D9" s="8"/>
      <c r="E9" s="8"/>
      <c r="F9" s="8"/>
      <c r="G9" s="1"/>
    </row>
    <row r="10" customFormat="false" ht="22.5" hidden="false" customHeight="true" outlineLevel="0" collapsed="false">
      <c r="A10" s="10" t="s">
        <v>8</v>
      </c>
      <c r="B10" s="11"/>
      <c r="C10" s="12" t="s">
        <v>9</v>
      </c>
      <c r="D10" s="11"/>
      <c r="E10" s="11"/>
      <c r="F10" s="11"/>
      <c r="G10" s="1"/>
      <c r="H10" s="1"/>
      <c r="I10" s="1"/>
      <c r="J10" s="1"/>
    </row>
    <row r="11" customFormat="false" ht="21.75" hidden="false" customHeight="true" outlineLevel="0" collapsed="false">
      <c r="A11" s="10" t="s">
        <v>10</v>
      </c>
      <c r="B11" s="10"/>
      <c r="C11" s="10" t="s">
        <v>34</v>
      </c>
      <c r="D11" s="11"/>
      <c r="E11" s="11"/>
      <c r="F11" s="11"/>
      <c r="G11" s="1"/>
      <c r="H11" s="1"/>
      <c r="I11" s="1"/>
      <c r="J11" s="1"/>
    </row>
    <row r="12" customFormat="false" ht="22.5" hidden="false" customHeight="true" outlineLevel="0" collapsed="false">
      <c r="A12" s="10" t="s">
        <v>12</v>
      </c>
      <c r="B12" s="11"/>
      <c r="C12" s="10" t="s">
        <v>13</v>
      </c>
      <c r="D12" s="11"/>
      <c r="E12" s="11"/>
      <c r="F12" s="11"/>
      <c r="G12" s="1"/>
      <c r="H12" s="7" t="s">
        <v>14</v>
      </c>
      <c r="I12" s="7" t="s">
        <v>15</v>
      </c>
      <c r="J12" s="8"/>
    </row>
    <row r="13" customFormat="false" ht="11.2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9.5" hidden="false" customHeight="true" outlineLevel="0" collapsed="false">
      <c r="A14" s="14" t="s">
        <v>35</v>
      </c>
      <c r="B14" s="14"/>
      <c r="C14" s="15" t="n">
        <f aca="false">H46</f>
        <v>167860</v>
      </c>
      <c r="D14" s="16"/>
      <c r="E14" s="16"/>
      <c r="F14" s="16"/>
      <c r="G14" s="17"/>
      <c r="H14" s="18" t="s">
        <v>17</v>
      </c>
      <c r="I14" s="19" t="n">
        <f aca="false">H44</f>
        <v>152600</v>
      </c>
      <c r="J14" s="19"/>
    </row>
    <row r="15" customFormat="false" ht="14.25" hidden="false" customHeight="true" outlineLevel="0" collapsed="false">
      <c r="A15" s="14"/>
      <c r="B15" s="14"/>
      <c r="C15" s="15"/>
      <c r="D15" s="13"/>
      <c r="E15" s="13"/>
      <c r="F15" s="13"/>
      <c r="G15" s="20"/>
      <c r="H15" s="21"/>
      <c r="I15" s="21"/>
      <c r="J15" s="21"/>
    </row>
    <row r="16" customFormat="false" ht="14.25" hidden="false" customHeight="true" outlineLevel="0" collapsed="false"/>
    <row r="17" customFormat="false" ht="21" hidden="false" customHeight="true" outlineLevel="0" collapsed="false">
      <c r="A17" s="22" t="s">
        <v>18</v>
      </c>
      <c r="B17" s="22"/>
      <c r="C17" s="22"/>
      <c r="D17" s="22"/>
      <c r="E17" s="22"/>
      <c r="F17" s="23" t="s">
        <v>19</v>
      </c>
      <c r="G17" s="23" t="s">
        <v>20</v>
      </c>
      <c r="H17" s="23" t="s">
        <v>21</v>
      </c>
      <c r="I17" s="23" t="s">
        <v>22</v>
      </c>
      <c r="J17" s="23" t="s">
        <v>23</v>
      </c>
    </row>
    <row r="18" customFormat="false" ht="18" hidden="false" customHeight="true" outlineLevel="0" collapsed="false">
      <c r="A18" s="24" t="s">
        <v>24</v>
      </c>
      <c r="B18" s="24"/>
      <c r="C18" s="24"/>
      <c r="D18" s="24"/>
      <c r="E18" s="24"/>
      <c r="F18" s="25" t="n">
        <v>1</v>
      </c>
      <c r="G18" s="26" t="s">
        <v>25</v>
      </c>
      <c r="H18" s="27" t="n">
        <v>30600</v>
      </c>
      <c r="I18" s="27" t="n">
        <f aca="false">IF(ISBLANK(H18),"",F18*H18)</f>
        <v>30600</v>
      </c>
      <c r="J18" s="28" t="s">
        <v>26</v>
      </c>
    </row>
    <row r="19" customFormat="false" ht="18" hidden="false" customHeight="true" outlineLevel="0" collapsed="false">
      <c r="A19" s="29" t="s">
        <v>27</v>
      </c>
      <c r="B19" s="29"/>
      <c r="C19" s="29"/>
      <c r="D19" s="29"/>
      <c r="E19" s="29"/>
      <c r="F19" s="30" t="n">
        <v>1</v>
      </c>
      <c r="G19" s="31" t="s">
        <v>25</v>
      </c>
      <c r="H19" s="32" t="n">
        <v>42000</v>
      </c>
      <c r="I19" s="32" t="n">
        <f aca="false">IF(ISBLANK(H19),"",F19*H19)</f>
        <v>42000</v>
      </c>
      <c r="J19" s="38" t="s">
        <v>36</v>
      </c>
    </row>
    <row r="20" customFormat="false" ht="18" hidden="false" customHeight="true" outlineLevel="0" collapsed="false">
      <c r="A20" s="24" t="s">
        <v>28</v>
      </c>
      <c r="B20" s="24"/>
      <c r="C20" s="24"/>
      <c r="D20" s="24"/>
      <c r="E20" s="24"/>
      <c r="F20" s="25" t="n">
        <v>1</v>
      </c>
      <c r="G20" s="26" t="s">
        <v>25</v>
      </c>
      <c r="H20" s="27" t="n">
        <v>68000</v>
      </c>
      <c r="I20" s="27" t="n">
        <f aca="false">IF(ISBLANK(H20),"",F20*H20)</f>
        <v>68000</v>
      </c>
      <c r="J20" s="28"/>
    </row>
    <row r="21" customFormat="false" ht="18" hidden="false" customHeight="true" outlineLevel="0" collapsed="false">
      <c r="A21" s="29" t="s">
        <v>29</v>
      </c>
      <c r="B21" s="29"/>
      <c r="C21" s="29"/>
      <c r="D21" s="29"/>
      <c r="E21" s="29"/>
      <c r="F21" s="30" t="n">
        <v>1</v>
      </c>
      <c r="G21" s="31" t="s">
        <v>25</v>
      </c>
      <c r="H21" s="32" t="n">
        <v>12000</v>
      </c>
      <c r="I21" s="32" t="n">
        <f aca="false">IF(ISBLANK(H21),"",F21*H21)</f>
        <v>12000</v>
      </c>
      <c r="J21" s="33"/>
    </row>
    <row r="22" customFormat="false" ht="18" hidden="false" customHeight="true" outlineLevel="0" collapsed="false">
      <c r="A22" s="24"/>
      <c r="B22" s="24"/>
      <c r="C22" s="24"/>
      <c r="D22" s="24"/>
      <c r="E22" s="24"/>
      <c r="F22" s="25"/>
      <c r="G22" s="26"/>
      <c r="H22" s="27"/>
      <c r="I22" s="27" t="str">
        <f aca="false">IF(ISBLANK(H22),"",F22*H22)</f>
        <v/>
      </c>
      <c r="J22" s="28"/>
    </row>
    <row r="23" customFormat="false" ht="18" hidden="false" customHeight="true" outlineLevel="0" collapsed="false">
      <c r="A23" s="29"/>
      <c r="B23" s="29"/>
      <c r="C23" s="29"/>
      <c r="D23" s="29"/>
      <c r="E23" s="29"/>
      <c r="F23" s="30"/>
      <c r="G23" s="31"/>
      <c r="H23" s="32"/>
      <c r="I23" s="32" t="str">
        <f aca="false">IF(ISBLANK(H23),"",F23*H23)</f>
        <v/>
      </c>
      <c r="J23" s="33"/>
    </row>
    <row r="24" customFormat="false" ht="18" hidden="false" customHeight="true" outlineLevel="0" collapsed="false">
      <c r="A24" s="24"/>
      <c r="B24" s="24"/>
      <c r="C24" s="24"/>
      <c r="D24" s="24"/>
      <c r="E24" s="24"/>
      <c r="F24" s="25"/>
      <c r="G24" s="26"/>
      <c r="H24" s="27"/>
      <c r="I24" s="27" t="str">
        <f aca="false">IF(ISBLANK(H24),"",F24*H24)</f>
        <v/>
      </c>
      <c r="J24" s="28"/>
    </row>
    <row r="25" customFormat="false" ht="18" hidden="false" customHeight="true" outlineLevel="0" collapsed="false">
      <c r="A25" s="29"/>
      <c r="B25" s="29"/>
      <c r="C25" s="29"/>
      <c r="D25" s="29"/>
      <c r="E25" s="29"/>
      <c r="F25" s="30"/>
      <c r="G25" s="31"/>
      <c r="H25" s="32"/>
      <c r="I25" s="32" t="str">
        <f aca="false">IF(ISBLANK(H25),"",F25*H25)</f>
        <v/>
      </c>
      <c r="J25" s="33"/>
    </row>
    <row r="26" customFormat="false" ht="18" hidden="false" customHeight="true" outlineLevel="0" collapsed="false">
      <c r="A26" s="24"/>
      <c r="B26" s="24"/>
      <c r="C26" s="24"/>
      <c r="D26" s="24"/>
      <c r="E26" s="24"/>
      <c r="F26" s="25"/>
      <c r="G26" s="26"/>
      <c r="H26" s="27"/>
      <c r="I26" s="27" t="str">
        <f aca="false">IF(ISBLANK(H26),"",F26*H26)</f>
        <v/>
      </c>
      <c r="J26" s="28"/>
    </row>
    <row r="27" customFormat="false" ht="18" hidden="false" customHeight="true" outlineLevel="0" collapsed="false">
      <c r="A27" s="29"/>
      <c r="B27" s="29"/>
      <c r="C27" s="29"/>
      <c r="D27" s="29"/>
      <c r="E27" s="29"/>
      <c r="F27" s="30"/>
      <c r="G27" s="31"/>
      <c r="H27" s="32"/>
      <c r="I27" s="32" t="str">
        <f aca="false">IF(ISBLANK(H27),"",F27*H27)</f>
        <v/>
      </c>
      <c r="J27" s="33"/>
    </row>
    <row r="28" customFormat="false" ht="18" hidden="false" customHeight="true" outlineLevel="0" collapsed="false">
      <c r="A28" s="24"/>
      <c r="B28" s="24"/>
      <c r="C28" s="24"/>
      <c r="D28" s="24"/>
      <c r="E28" s="24"/>
      <c r="F28" s="25"/>
      <c r="G28" s="26"/>
      <c r="H28" s="27"/>
      <c r="I28" s="27" t="str">
        <f aca="false">IF(ISBLANK(H28),"",F28*H28)</f>
        <v/>
      </c>
      <c r="J28" s="28"/>
    </row>
    <row r="29" customFormat="false" ht="18" hidden="false" customHeight="true" outlineLevel="0" collapsed="false">
      <c r="A29" s="29"/>
      <c r="B29" s="29"/>
      <c r="C29" s="29"/>
      <c r="D29" s="29"/>
      <c r="E29" s="29"/>
      <c r="F29" s="30"/>
      <c r="G29" s="31"/>
      <c r="H29" s="32"/>
      <c r="I29" s="32" t="str">
        <f aca="false">IF(ISBLANK(H29),"",F29*H29)</f>
        <v/>
      </c>
      <c r="J29" s="33"/>
    </row>
    <row r="30" customFormat="false" ht="18" hidden="false" customHeight="true" outlineLevel="0" collapsed="false">
      <c r="A30" s="24"/>
      <c r="B30" s="24"/>
      <c r="C30" s="24"/>
      <c r="D30" s="24"/>
      <c r="E30" s="24"/>
      <c r="F30" s="25"/>
      <c r="G30" s="26"/>
      <c r="H30" s="27"/>
      <c r="I30" s="27" t="str">
        <f aca="false">IF(ISBLANK(H30),"",F30*H30)</f>
        <v/>
      </c>
      <c r="J30" s="28"/>
    </row>
    <row r="31" customFormat="false" ht="18" hidden="false" customHeight="true" outlineLevel="0" collapsed="false">
      <c r="A31" s="29"/>
      <c r="B31" s="29"/>
      <c r="C31" s="29"/>
      <c r="D31" s="29"/>
      <c r="E31" s="29"/>
      <c r="F31" s="30"/>
      <c r="G31" s="31"/>
      <c r="H31" s="32"/>
      <c r="I31" s="32" t="str">
        <f aca="false">IF(ISBLANK(H31),"",F31*H31)</f>
        <v/>
      </c>
      <c r="J31" s="33"/>
    </row>
    <row r="32" customFormat="false" ht="18" hidden="false" customHeight="true" outlineLevel="0" collapsed="false">
      <c r="A32" s="24"/>
      <c r="B32" s="24"/>
      <c r="C32" s="24"/>
      <c r="D32" s="24"/>
      <c r="E32" s="24"/>
      <c r="F32" s="25"/>
      <c r="G32" s="26"/>
      <c r="H32" s="27"/>
      <c r="I32" s="27" t="str">
        <f aca="false">IF(ISBLANK(H32),"",F32*H32)</f>
        <v/>
      </c>
      <c r="J32" s="28"/>
    </row>
    <row r="33" customFormat="false" ht="18" hidden="false" customHeight="true" outlineLevel="0" collapsed="false">
      <c r="A33" s="29"/>
      <c r="B33" s="29"/>
      <c r="C33" s="29"/>
      <c r="D33" s="29"/>
      <c r="E33" s="29"/>
      <c r="F33" s="30"/>
      <c r="G33" s="31"/>
      <c r="H33" s="32"/>
      <c r="I33" s="32" t="str">
        <f aca="false">IF(ISBLANK(H33),"",F33*H33)</f>
        <v/>
      </c>
      <c r="J33" s="33"/>
    </row>
    <row r="34" customFormat="false" ht="18" hidden="false" customHeight="true" outlineLevel="0" collapsed="false">
      <c r="A34" s="24"/>
      <c r="B34" s="24"/>
      <c r="C34" s="24"/>
      <c r="D34" s="24"/>
      <c r="E34" s="24"/>
      <c r="F34" s="25"/>
      <c r="G34" s="26"/>
      <c r="H34" s="27"/>
      <c r="I34" s="27" t="str">
        <f aca="false">IF(ISBLANK(H34),"",F34*H34)</f>
        <v/>
      </c>
      <c r="J34" s="28"/>
    </row>
    <row r="35" customFormat="false" ht="18" hidden="false" customHeight="true" outlineLevel="0" collapsed="false">
      <c r="A35" s="29"/>
      <c r="B35" s="29"/>
      <c r="C35" s="29"/>
      <c r="D35" s="29"/>
      <c r="E35" s="29"/>
      <c r="F35" s="30"/>
      <c r="G35" s="31"/>
      <c r="H35" s="32"/>
      <c r="I35" s="32" t="str">
        <f aca="false">IF(ISBLANK(H35),"",F35*H35)</f>
        <v/>
      </c>
      <c r="J35" s="33"/>
    </row>
    <row r="36" customFormat="false" ht="18" hidden="false" customHeight="true" outlineLevel="0" collapsed="false">
      <c r="A36" s="24"/>
      <c r="B36" s="24"/>
      <c r="C36" s="24"/>
      <c r="D36" s="24"/>
      <c r="E36" s="24"/>
      <c r="F36" s="25"/>
      <c r="G36" s="26"/>
      <c r="H36" s="27"/>
      <c r="I36" s="27" t="str">
        <f aca="false">IF(ISBLANK(H36),"",F36*H36)</f>
        <v/>
      </c>
      <c r="J36" s="28"/>
    </row>
    <row r="37" customFormat="false" ht="18" hidden="false" customHeight="true" outlineLevel="0" collapsed="false">
      <c r="A37" s="29"/>
      <c r="B37" s="29"/>
      <c r="C37" s="29"/>
      <c r="D37" s="29"/>
      <c r="E37" s="29"/>
      <c r="F37" s="30"/>
      <c r="G37" s="31"/>
      <c r="H37" s="32"/>
      <c r="I37" s="32" t="str">
        <f aca="false">IF(ISBLANK(H37),"",F37*H37)</f>
        <v/>
      </c>
      <c r="J37" s="33"/>
    </row>
    <row r="38" customFormat="false" ht="18" hidden="false" customHeight="true" outlineLevel="0" collapsed="false">
      <c r="A38" s="24"/>
      <c r="B38" s="24"/>
      <c r="C38" s="24"/>
      <c r="D38" s="24"/>
      <c r="E38" s="24"/>
      <c r="F38" s="25"/>
      <c r="G38" s="26"/>
      <c r="H38" s="27"/>
      <c r="I38" s="27" t="str">
        <f aca="false">IF(ISBLANK(H38),"",F38*H38)</f>
        <v/>
      </c>
      <c r="J38" s="28"/>
    </row>
    <row r="39" customFormat="false" ht="18" hidden="false" customHeight="true" outlineLevel="0" collapsed="false">
      <c r="A39" s="29"/>
      <c r="B39" s="29"/>
      <c r="C39" s="29"/>
      <c r="D39" s="29"/>
      <c r="E39" s="29"/>
      <c r="F39" s="30"/>
      <c r="G39" s="31"/>
      <c r="H39" s="32"/>
      <c r="I39" s="32" t="str">
        <f aca="false">IF(ISBLANK(H39),"",F39*H39)</f>
        <v/>
      </c>
      <c r="J39" s="33"/>
    </row>
    <row r="40" customFormat="false" ht="18" hidden="false" customHeight="true" outlineLevel="0" collapsed="false">
      <c r="A40" s="24"/>
      <c r="B40" s="24"/>
      <c r="C40" s="24"/>
      <c r="D40" s="24"/>
      <c r="E40" s="24"/>
      <c r="F40" s="25"/>
      <c r="G40" s="26"/>
      <c r="H40" s="27"/>
      <c r="I40" s="27" t="str">
        <f aca="false">IF(ISBLANK(H40),"",F40*H40)</f>
        <v/>
      </c>
      <c r="J40" s="28"/>
    </row>
    <row r="41" customFormat="false" ht="18" hidden="false" customHeight="true" outlineLevel="0" collapsed="false">
      <c r="A41" s="29"/>
      <c r="B41" s="29"/>
      <c r="C41" s="29"/>
      <c r="D41" s="29"/>
      <c r="E41" s="29"/>
      <c r="F41" s="30"/>
      <c r="G41" s="31"/>
      <c r="H41" s="32"/>
      <c r="I41" s="32" t="str">
        <f aca="false">IF(ISBLANK(H41),"",F41*H41)</f>
        <v/>
      </c>
      <c r="J41" s="33"/>
    </row>
    <row r="42" customFormat="false" ht="18" hidden="false" customHeight="true" outlineLevel="0" collapsed="false">
      <c r="A42" s="24"/>
      <c r="B42" s="24"/>
      <c r="C42" s="24"/>
      <c r="D42" s="24"/>
      <c r="E42" s="24"/>
      <c r="F42" s="25"/>
      <c r="G42" s="26"/>
      <c r="H42" s="27"/>
      <c r="I42" s="27" t="str">
        <f aca="false">IF(ISBLANK(H42),"",F42*H42)</f>
        <v/>
      </c>
      <c r="J42" s="28"/>
    </row>
    <row r="43" customFormat="false" ht="18" hidden="false" customHeight="true" outlineLevel="0" collapsed="false">
      <c r="A43" s="29"/>
      <c r="B43" s="29"/>
      <c r="C43" s="29"/>
      <c r="D43" s="29"/>
      <c r="E43" s="29"/>
      <c r="F43" s="30"/>
      <c r="G43" s="31"/>
      <c r="H43" s="32"/>
      <c r="I43" s="32" t="str">
        <f aca="false">IF(ISBLANK(H43),"",F43*H43)</f>
        <v/>
      </c>
      <c r="J43" s="33"/>
    </row>
    <row r="44" customFormat="false" ht="18" hidden="false" customHeight="true" outlineLevel="0" collapsed="false">
      <c r="A44" s="34" t="s">
        <v>37</v>
      </c>
      <c r="F44" s="35" t="s">
        <v>17</v>
      </c>
      <c r="H44" s="36" t="n">
        <f aca="false">SUM(I18:I43)</f>
        <v>152600</v>
      </c>
      <c r="I44" s="36"/>
      <c r="J44" s="36"/>
    </row>
    <row r="45" customFormat="false" ht="18" hidden="false" customHeight="true" outlineLevel="0" collapsed="false">
      <c r="A45" s="39" t="s">
        <v>38</v>
      </c>
      <c r="B45" s="39"/>
      <c r="C45" s="39"/>
      <c r="D45" s="39"/>
      <c r="E45" s="39"/>
      <c r="F45" s="37" t="s">
        <v>31</v>
      </c>
      <c r="H45" s="36" t="n">
        <f aca="false">H44*0.1</f>
        <v>15260</v>
      </c>
      <c r="I45" s="36"/>
      <c r="J45" s="36"/>
    </row>
    <row r="46" customFormat="false" ht="18" hidden="false" customHeight="true" outlineLevel="0" collapsed="false">
      <c r="A46" s="39"/>
      <c r="B46" s="39"/>
      <c r="C46" s="39"/>
      <c r="D46" s="39"/>
      <c r="E46" s="39"/>
      <c r="F46" s="37" t="s">
        <v>32</v>
      </c>
      <c r="H46" s="36" t="n">
        <f aca="false">H44+H45</f>
        <v>167860</v>
      </c>
      <c r="I46" s="36"/>
      <c r="J46" s="36"/>
    </row>
    <row r="47" customFormat="false" ht="18" hidden="false" customHeight="true" outlineLevel="0" collapsed="false"/>
  </sheetData>
  <mergeCells count="44">
    <mergeCell ref="A1:J2"/>
    <mergeCell ref="A3:J3"/>
    <mergeCell ref="A6:E6"/>
    <mergeCell ref="G6:G12"/>
    <mergeCell ref="H6:J8"/>
    <mergeCell ref="A8:F8"/>
    <mergeCell ref="H10:J11"/>
    <mergeCell ref="A11:B11"/>
    <mergeCell ref="A13:J13"/>
    <mergeCell ref="A14:B15"/>
    <mergeCell ref="C14:C15"/>
    <mergeCell ref="I14:J14"/>
    <mergeCell ref="I15:J15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H44:J44"/>
    <mergeCell ref="A45:E46"/>
    <mergeCell ref="H45:J45"/>
    <mergeCell ref="H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2026-03-09T04:40:28Z</dcterms:created>
  <dc:creator>openpyxl</dc:creator>
  <dc:description/>
  <dc:language>en-US</dc:language>
  <cp:lastModifiedBy/>
  <dcterms:modified xsi:type="dcterms:W3CDTF">2026-03-09T04:40:28Z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